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5" i="1" l="1"/>
  <c r="D47" i="1"/>
  <c r="D27" i="1"/>
</calcChain>
</file>

<file path=xl/sharedStrings.xml><?xml version="1.0" encoding="utf-8"?>
<sst xmlns="http://schemas.openxmlformats.org/spreadsheetml/2006/main" count="161" uniqueCount="116">
  <si>
    <t>Запчасти</t>
  </si>
  <si>
    <t>Цена</t>
  </si>
  <si>
    <t>Доставка</t>
  </si>
  <si>
    <t>Время доставки</t>
  </si>
  <si>
    <t>Продавец</t>
  </si>
  <si>
    <t>3d принтер</t>
  </si>
  <si>
    <t>Ender 3</t>
  </si>
  <si>
    <t>Ender 3 pro</t>
  </si>
  <si>
    <t>Ender 5</t>
  </si>
  <si>
    <t>Ender 5 pro</t>
  </si>
  <si>
    <t>характеристика</t>
  </si>
  <si>
    <t>22х22х30см</t>
  </si>
  <si>
    <t>день в день</t>
  </si>
  <si>
    <t>3dlife.kz</t>
  </si>
  <si>
    <t>22х22х25см</t>
  </si>
  <si>
    <t>нет в наличий</t>
  </si>
  <si>
    <t>Мотор</t>
  </si>
  <si>
    <t>Модуль</t>
  </si>
  <si>
    <t>Мткропроцессор</t>
  </si>
  <si>
    <t>Джойстик</t>
  </si>
  <si>
    <t>Модуль Беспроводного Управления</t>
  </si>
  <si>
    <t>Рулевые тяги</t>
  </si>
  <si>
    <t>Сверлильный патрон</t>
  </si>
  <si>
    <t>Есть в наличии</t>
  </si>
  <si>
    <t>Нет в наличии</t>
  </si>
  <si>
    <t>Заказ</t>
  </si>
  <si>
    <t>В Алмате</t>
  </si>
  <si>
    <t>olx.kz</t>
  </si>
  <si>
    <t>Raspberry</t>
  </si>
  <si>
    <t>pi zero</t>
  </si>
  <si>
    <t>pi 4</t>
  </si>
  <si>
    <t>Модель или вид</t>
  </si>
  <si>
    <t>Arduino</t>
  </si>
  <si>
    <t>nano</t>
  </si>
  <si>
    <t>UNO</t>
  </si>
  <si>
    <t>ссылка</t>
  </si>
  <si>
    <t>https://aliexpress.ru/item/32913535925.html?spm=a2g0o.productlist.0.0.46864966JYDFUy&amp;algo_pvid=f044f902-bfb8-48a5-85a9-4dfe36f340fc&amp;algo_expid=f044f902-bfb8-48a5-85a9-4dfe36f340fc-0&amp;btsid=0ab6fb8816003153836298595e43f0&amp;ws_ab_test=searchweb0_0,searchweb201602_,searchweb201603_</t>
  </si>
  <si>
    <t>вес 37гр</t>
  </si>
  <si>
    <t>4200KV</t>
  </si>
  <si>
    <t>FATJAY 2627</t>
  </si>
  <si>
    <t>AliExpress</t>
  </si>
  <si>
    <t>Подшипник</t>
  </si>
  <si>
    <t>684zz</t>
  </si>
  <si>
    <t>Бесплатная</t>
  </si>
  <si>
    <t>30-50 дней</t>
  </si>
  <si>
    <t>https://aliexpress.ru/item/4000427429587.html?spm=a2g0o.productlist.0.0.2d733bdbadaBf6&amp;algo_pvid=602fee95-aea3-4653-9ef2-f72144310e0b&amp;algo_expid=602fee95-aea3-4653-9ef2-f72144310e0b-2&amp;btsid=0ab6d70516003139753546874e13d7&amp;ws_ab_test=searchweb0_0,searchweb201602_,searchweb201603_</t>
  </si>
  <si>
    <t>4х9х4 мм</t>
  </si>
  <si>
    <t>Стержни из углеродного волокна</t>
  </si>
  <si>
    <t>Неизвестно</t>
  </si>
  <si>
    <t>2 недели</t>
  </si>
  <si>
    <t>Alibaba</t>
  </si>
  <si>
    <t>https://russian.alibaba.com/product-detail/carbon-fiber-rods-for-rc-plane-diy-tool-wing-tube-quadcopter-arm-1mm-1-5mm-2mm-3mm-4mm-5mm-7mm-0-5-meter-wholesale-62249705303.html?spm=a2700.8699010.normalList.56.22ac34ecTGtkIu</t>
  </si>
  <si>
    <t>1,5mm 2mm 3mm 4mm</t>
  </si>
  <si>
    <t>https://aliexpress.ru/item/1584851244.html?spm=a2g0o.productlist.0.0.413c26d3bSdUUf&amp;algo_pvid=e09df1ce-60b9-49c7-8284-bc31cc160a0e&amp;algo_expid=e09df1ce-60b9-49c7-8284-bc31cc160a0e-0&amp;btsid=0ab6d70516003145906773920e13d7&amp;ws_ab_test=searchweb0_0,searchweb201602_,searchweb201603_</t>
  </si>
  <si>
    <t>102017 HSP (02157)</t>
  </si>
  <si>
    <t>Металический примерный вес 20гр</t>
  </si>
  <si>
    <t>WENXING</t>
  </si>
  <si>
    <t>https://aliexpress.ru/item/4001233511740.html?spm=a2g0o.productlist.0.0.7b8a5ccaSU5dAy&amp;algo_pvid=710dfa6b-552b-401c-8072-6841db5ea919&amp;algo_expid=710dfa6b-552b-401c-8072-6841db5ea919-2&amp;btsid=0ab6d70516003144167954995e13d7&amp;ws_ab_test=searchweb0_0,searchweb201602_,searchweb201603_</t>
  </si>
  <si>
    <t>5шт 0,3-3мм</t>
  </si>
  <si>
    <t>HS-12</t>
  </si>
  <si>
    <t>Mbee 868</t>
  </si>
  <si>
    <t>http://ba3ar.kz/k1_581.php</t>
  </si>
  <si>
    <t>Дальность 2км</t>
  </si>
  <si>
    <t>Дальность 15км</t>
  </si>
  <si>
    <t>Bazar.kz</t>
  </si>
  <si>
    <t>https://www.terraelectronica.ru/product/1904946</t>
  </si>
  <si>
    <t>https://www.chipdip.ru/product/mbee-868-2.0-sma-pls12</t>
  </si>
  <si>
    <t>Чип и Дип</t>
  </si>
  <si>
    <t>Терра</t>
  </si>
  <si>
    <t>Прочее</t>
  </si>
  <si>
    <t>Батарея</t>
  </si>
  <si>
    <t>LiPo</t>
  </si>
  <si>
    <t>7,4 V</t>
  </si>
  <si>
    <t>https://aliexpress.ru/item/4001194059641.html?spm=a2g0o.productlist.0.0.2b95bc58VHTEg6&amp;s=p&amp;ad_pvid=202009162300366532673889767550000968232_1&amp;algo_pvid=f148111e-0907-419d-9287-e418aa849468&amp;algo_expid=f148111e-0907-419d-9287-e418aa849468-0&amp;btsid=0ab50a5716003224362314996eb83d&amp;ws_ab_test=searchweb0_0,searchweb201602_,searchweb201603_</t>
  </si>
  <si>
    <t>2s</t>
  </si>
  <si>
    <t>https://aliexpress.ru/item/32964524068.html?spm=a2g0o.productlist.0.0.2b95bc58VHTEg6&amp;algo_pvid=f148111e-0907-419d-9287-e418aa849468&amp;algo_expid=f148111e-0907-419d-9287-e418aa849468-19&amp;btsid=0ab50a5716003224362314996eb83d&amp;ws_ab_test=searchweb0_0,searchweb201602_,searchweb201603_</t>
  </si>
  <si>
    <t>Контроллер двигателя</t>
  </si>
  <si>
    <t>FlyDragon</t>
  </si>
  <si>
    <t>28-45 дней</t>
  </si>
  <si>
    <t>Joom</t>
  </si>
  <si>
    <t>https://www.joom.com/ru/products/5daa3d7b28fc7101019dbe78</t>
  </si>
  <si>
    <t>20A</t>
  </si>
  <si>
    <t>ESC</t>
  </si>
  <si>
    <t>Hobbywing Skywalker</t>
  </si>
  <si>
    <t>https://aliexpress.ru/item/4000905744825.html?spm=a2g0o.productlist.0.0.294a40acQvXdeT&amp;algo_pvid=0e955acb-08ff-4bba-a9a5-dcb7cfb186c4&amp;algo_expid=0e955acb-08ff-4bba-a9a5-dcb7cfb186c4-27&amp;btsid=0ab50a5716003231031318783eb83d&amp;ws_ab_test=searchweb0_0,searchweb201602_,searchweb201603_</t>
  </si>
  <si>
    <t>https://aliexpress.ru/item/4000719635851.html?spm=a2g0o.productlist.0.0.294a40acQvXdeT&amp;algo_pvid=0e955acb-08ff-4bba-a9a5-dcb7cfb186c4&amp;algo_expid=0e955acb-08ff-4bba-a9a5-dcb7cfb186c4-14&amp;btsid=0ab50a5716003231031318783eb83d&amp;ws_ab_test=searchweb0_0,searchweb201602_,searchweb201603_</t>
  </si>
  <si>
    <t>https://aliexpress.ru/item/4001199376274.html?spm=a2g0o.productlist.0.0.294a40acQvXdeT&amp;algo_pvid=0e955acb-08ff-4bba-a9a5-dcb7cfb186c4&amp;algo_expid=0e955acb-08ff-4bba-a9a5-dcb7cfb186c4-21&amp;btsid=0ab50a5716003231031318783eb83d&amp;ws_ab_test=searchweb0_0,searchweb201602_,searchweb201603_</t>
  </si>
  <si>
    <t>Emax SimonK</t>
  </si>
  <si>
    <t>Шестерни</t>
  </si>
  <si>
    <t>https://aliexpress.ru/item/32611124467.html?spm=a2g0o.productlist.0.0.53bd20dblB4zQ5&amp;algo_pvid=f8db1530-96e6-4799-a85b-004d4c2978c4&amp;algo_expid=f8db1530-96e6-4799-a85b-004d4c2978c4-0&amp;btsid=0ab50f0816003238612734410e1122&amp;ws_ab_test=searchweb0_0,searchweb201602_,searchweb201603_</t>
  </si>
  <si>
    <t>5шт</t>
  </si>
  <si>
    <t>0,5-2,3</t>
  </si>
  <si>
    <t>0,5-2</t>
  </si>
  <si>
    <t>https://aliexpress.ru/item/32830510013.html?spm=a2g0o.productlist.0.0.db3d69d3mG7SOQ&amp;algo_pvid=33d772fd-3cb5-42d1-999a-b55ed67f271d&amp;algo_expid=33d772fd-3cb5-42d1-999a-b55ed67f271d-25&amp;btsid=0ab50f0816003241054304074e1122&amp;ws_ab_test=searchweb0_0,searchweb201602_,searchweb201603_</t>
  </si>
  <si>
    <t>Болты и гайки</t>
  </si>
  <si>
    <t>m2</t>
  </si>
  <si>
    <t>m2,5</t>
  </si>
  <si>
    <t>m3</t>
  </si>
  <si>
    <t>m2-10</t>
  </si>
  <si>
    <t>m2,5-10</t>
  </si>
  <si>
    <t>m3-4</t>
  </si>
  <si>
    <t>m3-6</t>
  </si>
  <si>
    <t>m3-10</t>
  </si>
  <si>
    <t>m3-20</t>
  </si>
  <si>
    <t>m3-25</t>
  </si>
  <si>
    <t>m4-16</t>
  </si>
  <si>
    <t>m4-25</t>
  </si>
  <si>
    <t>m4-50</t>
  </si>
  <si>
    <t>https://aliexpress.ru/item/32810872544.html?spm=a2g0o.productlist.0.0.13b951b7ZRhbKD&amp;algo_pvid=fd20ce61-0fd2-4c28-a243-20fc7585e86c&amp;algo_expid=fd20ce61-0fd2-4c28-a243-20fc7585e86c-1&amp;btsid=0ab50f0816003244585452031e1122&amp;ws_ab_test=searchweb0_0,searchweb201602_,searchweb201603_</t>
  </si>
  <si>
    <t>m4</t>
  </si>
  <si>
    <t>https://aliexpress.ru/item/32886183839.html?spm=a2g0o.productlist.0.0.447655f83RAbUk&amp;algo_pvid=69fdbdb6-c4af-4a30-96d9-d045416e4e71&amp;algo_expid=69fdbdb6-c4af-4a30-96d9-d045416e4e71-0&amp;btsid=0ab6d69f16003252484363618e72ba&amp;ws_ab_test=searchweb0_0,searchweb201602_,searchweb201603_</t>
  </si>
  <si>
    <t>https://aliexpress.ru/item/4000152457370.html?spm=a2g0o.productlist.0.0.447655f83RAbUk&amp;algo_pvid=69fdbdb6-c4af-4a30-96d9-d045416e4e71&amp;algo_expid=69fdbdb6-c4af-4a30-96d9-d045416e4e71-5&amp;btsid=0ab6d69f16003252484363618e72ba&amp;ws_ab_test=searchweb0_0,searchweb201602_,searchweb201603_</t>
  </si>
  <si>
    <t>https://aliexpress.ru/item/1005001320520390.html?spm=a2g0o.productlist.0.0.447655f83RAbUk&amp;algo_pvid=69fdbdb6-c4af-4a30-96d9-d045416e4e71&amp;algo_expid=69fdbdb6-c4af-4a30-96d9-d045416e4e71-4&amp;btsid=0ab6d69f16003252484363618e72ba&amp;ws_ab_test=searchweb0_0,searchweb201602_,searchweb201603_</t>
  </si>
  <si>
    <t>Курс доллара</t>
  </si>
  <si>
    <t>Курс рубля</t>
  </si>
  <si>
    <t>Расход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</si>
</sst>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* #,##0.00\ &quot;₽&quot;_-;\-* #,##0.00\ &quot;₽&quot;_-;_-* &quot;-&quot;??\ &quot;₽&quot;_-;_-@_-"/>
    <numFmt numFmtId="170" formatCode="_-[$$-4809]* #,##0.00_ ;_-[$$-4809]* \-#,##0.00\ ;_-[$$-4809]* &quot;-&quot;??_ ;_-@_ "/>
    <numFmt numFmtId="171" formatCode="_-* #,##0.00\ [$KZT]_-;\-* #,##0.00\ [$KZT]_-;_-* &quot;-&quot;??\ [$KZT]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Arial"/>
      <family val="2"/>
      <charset val="204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1" xfId="0" applyFill="1" applyBorder="1"/>
    <xf numFmtId="0" fontId="0" fillId="0" borderId="1" xfId="0" applyFill="1" applyBorder="1" applyAlignment="1">
      <alignment vertical="center" wrapText="1"/>
    </xf>
    <xf numFmtId="0" fontId="0" fillId="0" borderId="0" xfId="0" applyBorder="1"/>
    <xf numFmtId="0" fontId="2" fillId="0" borderId="0" xfId="0" applyFont="1" applyAlignment="1">
      <alignment vertical="center" wrapText="1"/>
    </xf>
    <xf numFmtId="44" fontId="0" fillId="0" borderId="1" xfId="1" applyFont="1" applyBorder="1"/>
    <xf numFmtId="170" fontId="0" fillId="0" borderId="1" xfId="1" applyNumberFormat="1" applyFont="1" applyBorder="1"/>
    <xf numFmtId="1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70" fontId="0" fillId="0" borderId="1" xfId="1" applyNumberFormat="1" applyFont="1" applyBorder="1" applyAlignment="1">
      <alignment horizontal="left"/>
    </xf>
    <xf numFmtId="171" fontId="0" fillId="0" borderId="1" xfId="0" applyNumberFormat="1" applyBorder="1"/>
    <xf numFmtId="171" fontId="0" fillId="0" borderId="1" xfId="1" applyNumberFormat="1" applyFont="1" applyBorder="1"/>
    <xf numFmtId="0" fontId="3" fillId="0" borderId="1" xfId="2" applyBorder="1"/>
    <xf numFmtId="171" fontId="0" fillId="0" borderId="1" xfId="1" applyNumberFormat="1" applyFont="1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0" fontId="0" fillId="0" borderId="2" xfId="1" applyNumberFormat="1" applyFont="1" applyBorder="1" applyAlignment="1">
      <alignment horizontal="center" vertical="center"/>
    </xf>
    <xf numFmtId="170" fontId="0" fillId="0" borderId="3" xfId="1" applyNumberFormat="1" applyFont="1" applyBorder="1" applyAlignment="1">
      <alignment horizontal="center" vertical="center"/>
    </xf>
    <xf numFmtId="170" fontId="0" fillId="0" borderId="4" xfId="1" applyNumberFormat="1" applyFont="1" applyBorder="1" applyAlignment="1">
      <alignment horizontal="center" vertical="center"/>
    </xf>
    <xf numFmtId="16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170" fontId="0" fillId="0" borderId="4" xfId="1" applyNumberFormat="1" applyFont="1" applyBorder="1" applyAlignment="1">
      <alignment horizontal="center" vertical="center"/>
    </xf>
    <xf numFmtId="0" fontId="0" fillId="0" borderId="1" xfId="0" applyBorder="1" applyAlignment="1"/>
    <xf numFmtId="0" fontId="0" fillId="0" borderId="4" xfId="0" applyBorder="1" applyAlignment="1">
      <alignment horizontal="left" vertical="center"/>
    </xf>
    <xf numFmtId="170" fontId="0" fillId="3" borderId="1" xfId="1" applyNumberFormat="1" applyFont="1" applyFill="1" applyBorder="1"/>
    <xf numFmtId="170" fontId="0" fillId="3" borderId="1" xfId="0" applyNumberFormat="1" applyFill="1" applyBorder="1"/>
    <xf numFmtId="171" fontId="0" fillId="3" borderId="1" xfId="0" applyNumberFormat="1" applyFill="1" applyBorder="1"/>
  </cellXfs>
  <cellStyles count="3">
    <cellStyle name="Гиперссылка" xfId="2" builtinId="8"/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Views>
    <sheetView tabSelected="1" topLeftCell="A34" workbookViewId="0">
      <selection activeCell="C55" sqref="C55"/>
    </sheetView>
  </sheetViews>
  <sheetFormatPr defaultRowHeight="15" x14ac:dyDescent="0.25"/>
  <cols>
    <col min="1" max="1" width="21.7109375" customWidth="1"/>
    <col min="2" max="2" width="36.85546875" customWidth="1"/>
    <col min="3" max="3" width="18" customWidth="1"/>
    <col min="4" max="4" width="18.28515625" customWidth="1"/>
    <col min="5" max="5" width="18.140625" customWidth="1"/>
    <col min="6" max="6" width="18.42578125" style="15" customWidth="1"/>
    <col min="7" max="8" width="18.140625" customWidth="1"/>
    <col min="9" max="9" width="27.7109375" customWidth="1"/>
    <col min="11" max="11" width="18.28515625" customWidth="1"/>
  </cols>
  <sheetData>
    <row r="1" spans="1:11" x14ac:dyDescent="0.25">
      <c r="A1" s="1"/>
      <c r="B1" s="1"/>
      <c r="C1" s="1"/>
      <c r="D1" s="1"/>
      <c r="E1" s="1"/>
      <c r="F1" s="14"/>
      <c r="G1" s="1"/>
      <c r="H1" s="9"/>
    </row>
    <row r="2" spans="1:11" x14ac:dyDescent="0.25">
      <c r="A2" s="2"/>
      <c r="B2" s="3" t="s">
        <v>0</v>
      </c>
      <c r="C2" s="3" t="s">
        <v>31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35</v>
      </c>
      <c r="I2" s="3" t="s">
        <v>10</v>
      </c>
      <c r="K2" s="4" t="s">
        <v>23</v>
      </c>
    </row>
    <row r="3" spans="1:11" x14ac:dyDescent="0.25">
      <c r="A3" s="2" t="s">
        <v>5</v>
      </c>
      <c r="B3" s="7" t="s">
        <v>6</v>
      </c>
      <c r="C3" s="7"/>
      <c r="D3" s="17">
        <v>100000</v>
      </c>
      <c r="E3" s="1" t="s">
        <v>26</v>
      </c>
      <c r="F3" s="14" t="s">
        <v>12</v>
      </c>
      <c r="G3" s="1" t="s">
        <v>13</v>
      </c>
      <c r="H3" s="1"/>
      <c r="I3" s="1" t="s">
        <v>14</v>
      </c>
      <c r="K3" s="5" t="s">
        <v>24</v>
      </c>
    </row>
    <row r="4" spans="1:11" x14ac:dyDescent="0.25">
      <c r="A4" s="1"/>
      <c r="B4" s="7" t="s">
        <v>7</v>
      </c>
      <c r="C4" s="7"/>
      <c r="D4" s="17">
        <v>125000</v>
      </c>
      <c r="E4" s="1" t="s">
        <v>26</v>
      </c>
      <c r="F4" s="14" t="s">
        <v>12</v>
      </c>
      <c r="G4" s="1" t="s">
        <v>13</v>
      </c>
      <c r="H4" s="1"/>
      <c r="I4" s="1" t="s">
        <v>14</v>
      </c>
      <c r="K4" s="6" t="s">
        <v>25</v>
      </c>
    </row>
    <row r="5" spans="1:11" x14ac:dyDescent="0.25">
      <c r="A5" s="1"/>
      <c r="B5" s="7"/>
      <c r="C5" s="7"/>
      <c r="D5" s="18">
        <v>117000</v>
      </c>
      <c r="E5" s="1" t="s">
        <v>26</v>
      </c>
      <c r="F5" s="14" t="s">
        <v>12</v>
      </c>
      <c r="G5" s="1" t="s">
        <v>27</v>
      </c>
      <c r="H5" s="1"/>
      <c r="I5" s="1" t="s">
        <v>14</v>
      </c>
      <c r="K5" s="6"/>
    </row>
    <row r="6" spans="1:11" x14ac:dyDescent="0.25">
      <c r="A6" s="1"/>
      <c r="B6" s="7" t="s">
        <v>8</v>
      </c>
      <c r="C6" s="7"/>
      <c r="D6" s="17">
        <v>155000</v>
      </c>
      <c r="E6" s="1" t="s">
        <v>26</v>
      </c>
      <c r="F6" s="14" t="s">
        <v>12</v>
      </c>
      <c r="G6" s="1" t="s">
        <v>13</v>
      </c>
      <c r="H6" s="1"/>
      <c r="I6" s="1" t="s">
        <v>11</v>
      </c>
    </row>
    <row r="7" spans="1:11" x14ac:dyDescent="0.25">
      <c r="A7" s="1"/>
      <c r="B7" s="7" t="s">
        <v>9</v>
      </c>
      <c r="C7" s="7"/>
      <c r="D7" s="17">
        <v>175000</v>
      </c>
      <c r="E7" s="1" t="s">
        <v>26</v>
      </c>
      <c r="F7" s="14" t="s">
        <v>15</v>
      </c>
      <c r="G7" s="1"/>
      <c r="H7" s="1"/>
      <c r="I7" s="1"/>
    </row>
    <row r="8" spans="1:11" x14ac:dyDescent="0.25">
      <c r="A8" s="1"/>
      <c r="B8" s="1"/>
      <c r="C8" s="7"/>
      <c r="D8" s="1"/>
      <c r="E8" s="1"/>
      <c r="F8" s="14"/>
      <c r="G8" s="1"/>
      <c r="H8" s="1"/>
      <c r="I8" s="1"/>
    </row>
    <row r="9" spans="1:11" x14ac:dyDescent="0.25">
      <c r="A9" s="1"/>
      <c r="B9" s="1"/>
      <c r="C9" s="7"/>
      <c r="D9" s="1"/>
      <c r="E9" s="1"/>
      <c r="F9" s="14"/>
      <c r="G9" s="1"/>
      <c r="H9" s="1"/>
      <c r="I9" s="1"/>
    </row>
    <row r="10" spans="1:11" x14ac:dyDescent="0.25">
      <c r="A10" s="1"/>
      <c r="B10" s="1"/>
      <c r="C10" s="7"/>
      <c r="D10" s="1"/>
      <c r="E10" s="1"/>
      <c r="F10" s="14"/>
      <c r="G10" s="1"/>
      <c r="H10" s="1"/>
      <c r="I10" s="1"/>
    </row>
    <row r="11" spans="1:11" x14ac:dyDescent="0.25">
      <c r="A11" s="2" t="s">
        <v>70</v>
      </c>
      <c r="B11" s="1" t="s">
        <v>71</v>
      </c>
      <c r="C11" s="7" t="s">
        <v>74</v>
      </c>
      <c r="D11" s="16">
        <v>12.3</v>
      </c>
      <c r="E11" s="16" t="s">
        <v>43</v>
      </c>
      <c r="F11" s="13">
        <v>44155</v>
      </c>
      <c r="G11" s="1" t="s">
        <v>40</v>
      </c>
      <c r="H11" s="1" t="s">
        <v>73</v>
      </c>
      <c r="I11" s="10" t="s">
        <v>72</v>
      </c>
    </row>
    <row r="12" spans="1:11" x14ac:dyDescent="0.25">
      <c r="A12" s="1"/>
      <c r="B12" s="1" t="s">
        <v>71</v>
      </c>
      <c r="C12" s="7" t="s">
        <v>74</v>
      </c>
      <c r="D12" s="16">
        <v>10.8</v>
      </c>
      <c r="E12" s="16" t="s">
        <v>43</v>
      </c>
      <c r="F12" s="13">
        <v>44155</v>
      </c>
      <c r="G12" s="1" t="s">
        <v>40</v>
      </c>
      <c r="H12" s="1" t="s">
        <v>75</v>
      </c>
      <c r="I12" s="10" t="s">
        <v>72</v>
      </c>
    </row>
    <row r="13" spans="1:11" x14ac:dyDescent="0.25">
      <c r="A13" s="1"/>
      <c r="B13" s="1"/>
      <c r="C13" s="7"/>
      <c r="D13" s="16"/>
      <c r="E13" s="16"/>
      <c r="F13" s="13"/>
      <c r="G13" s="1"/>
      <c r="H13" s="1"/>
      <c r="I13" s="10"/>
    </row>
    <row r="14" spans="1:11" x14ac:dyDescent="0.25">
      <c r="A14" s="2" t="s">
        <v>76</v>
      </c>
      <c r="B14" s="1" t="s">
        <v>77</v>
      </c>
      <c r="C14" s="7" t="s">
        <v>82</v>
      </c>
      <c r="D14" s="20">
        <v>6452</v>
      </c>
      <c r="E14" s="16" t="s">
        <v>43</v>
      </c>
      <c r="F14" s="13" t="s">
        <v>78</v>
      </c>
      <c r="G14" s="1" t="s">
        <v>79</v>
      </c>
      <c r="H14" s="1" t="s">
        <v>80</v>
      </c>
      <c r="I14" s="10" t="s">
        <v>81</v>
      </c>
    </row>
    <row r="15" spans="1:11" x14ac:dyDescent="0.25">
      <c r="A15" s="7"/>
      <c r="B15" s="1" t="s">
        <v>83</v>
      </c>
      <c r="C15" s="7" t="s">
        <v>82</v>
      </c>
      <c r="D15" s="16">
        <v>6.43</v>
      </c>
      <c r="E15" s="16">
        <v>4.1500000000000004</v>
      </c>
      <c r="F15" s="13">
        <v>44130</v>
      </c>
      <c r="G15" s="1" t="s">
        <v>40</v>
      </c>
      <c r="H15" s="1" t="s">
        <v>84</v>
      </c>
      <c r="I15" s="10"/>
    </row>
    <row r="16" spans="1:11" x14ac:dyDescent="0.25">
      <c r="A16" s="7"/>
      <c r="B16" s="1" t="s">
        <v>83</v>
      </c>
      <c r="C16" s="7" t="s">
        <v>82</v>
      </c>
      <c r="D16" s="16">
        <v>6.88</v>
      </c>
      <c r="E16" s="16">
        <v>6.02</v>
      </c>
      <c r="F16" s="13">
        <v>44123</v>
      </c>
      <c r="G16" s="1" t="s">
        <v>40</v>
      </c>
      <c r="H16" s="1" t="s">
        <v>85</v>
      </c>
      <c r="I16" s="10"/>
    </row>
    <row r="17" spans="1:9" x14ac:dyDescent="0.25">
      <c r="A17" s="7"/>
      <c r="B17" s="1" t="s">
        <v>87</v>
      </c>
      <c r="C17" s="7" t="s">
        <v>82</v>
      </c>
      <c r="D17" s="16">
        <v>4.68</v>
      </c>
      <c r="E17" s="16">
        <v>4.5199999999999996</v>
      </c>
      <c r="F17" s="13">
        <v>44123</v>
      </c>
      <c r="G17" s="1" t="s">
        <v>40</v>
      </c>
      <c r="H17" s="1" t="s">
        <v>86</v>
      </c>
      <c r="I17" s="10"/>
    </row>
    <row r="18" spans="1:9" x14ac:dyDescent="0.25">
      <c r="A18" s="7"/>
      <c r="B18" s="1"/>
      <c r="C18" s="7"/>
      <c r="D18" s="16"/>
      <c r="E18" s="16"/>
      <c r="F18" s="13"/>
      <c r="G18" s="1"/>
      <c r="H18" s="1"/>
      <c r="I18" s="10"/>
    </row>
    <row r="19" spans="1:9" x14ac:dyDescent="0.25">
      <c r="A19" s="2" t="s">
        <v>16</v>
      </c>
      <c r="B19" s="1" t="s">
        <v>39</v>
      </c>
      <c r="C19" s="7" t="s">
        <v>38</v>
      </c>
      <c r="D19" s="16">
        <v>9.09</v>
      </c>
      <c r="E19" s="12">
        <v>4.17</v>
      </c>
      <c r="F19" s="13">
        <v>44133</v>
      </c>
      <c r="G19" s="1" t="s">
        <v>40</v>
      </c>
      <c r="H19" s="19" t="s">
        <v>36</v>
      </c>
      <c r="I19" s="1" t="s">
        <v>37</v>
      </c>
    </row>
    <row r="20" spans="1:9" x14ac:dyDescent="0.25">
      <c r="A20" s="7"/>
      <c r="B20" s="1"/>
      <c r="C20" s="7"/>
      <c r="D20" s="16"/>
      <c r="E20" s="12"/>
      <c r="F20" s="13"/>
      <c r="G20" s="1"/>
      <c r="H20" s="1"/>
      <c r="I20" s="1"/>
    </row>
    <row r="21" spans="1:9" x14ac:dyDescent="0.25">
      <c r="A21" s="2" t="s">
        <v>69</v>
      </c>
      <c r="B21" s="1" t="s">
        <v>41</v>
      </c>
      <c r="C21" s="7" t="s">
        <v>42</v>
      </c>
      <c r="D21" s="12">
        <v>3.78</v>
      </c>
      <c r="E21" s="12" t="s">
        <v>43</v>
      </c>
      <c r="F21" s="14" t="s">
        <v>44</v>
      </c>
      <c r="G21" s="1" t="s">
        <v>40</v>
      </c>
      <c r="H21" s="1" t="s">
        <v>45</v>
      </c>
      <c r="I21" s="1" t="s">
        <v>46</v>
      </c>
    </row>
    <row r="22" spans="1:9" x14ac:dyDescent="0.25">
      <c r="A22" s="1"/>
      <c r="B22" s="1" t="s">
        <v>47</v>
      </c>
      <c r="C22" s="7"/>
      <c r="D22" s="12">
        <v>0.35</v>
      </c>
      <c r="E22" s="1" t="s">
        <v>48</v>
      </c>
      <c r="F22" s="14" t="s">
        <v>49</v>
      </c>
      <c r="G22" s="1" t="s">
        <v>50</v>
      </c>
      <c r="H22" s="1" t="s">
        <v>51</v>
      </c>
      <c r="I22" s="1" t="s">
        <v>52</v>
      </c>
    </row>
    <row r="23" spans="1:9" x14ac:dyDescent="0.25">
      <c r="A23" s="1"/>
      <c r="B23" s="7" t="s">
        <v>21</v>
      </c>
      <c r="C23" s="7" t="s">
        <v>54</v>
      </c>
      <c r="D23" s="12">
        <v>1.1200000000000001</v>
      </c>
      <c r="E23" s="12">
        <v>1.05</v>
      </c>
      <c r="F23" s="13">
        <v>44135</v>
      </c>
      <c r="G23" s="1" t="s">
        <v>40</v>
      </c>
      <c r="H23" s="1" t="s">
        <v>53</v>
      </c>
      <c r="I23" s="1" t="s">
        <v>55</v>
      </c>
    </row>
    <row r="24" spans="1:9" x14ac:dyDescent="0.25">
      <c r="A24" s="1"/>
      <c r="B24" s="7" t="s">
        <v>22</v>
      </c>
      <c r="C24" s="7" t="s">
        <v>56</v>
      </c>
      <c r="D24" s="12">
        <v>1.38</v>
      </c>
      <c r="E24" s="12">
        <v>0.23</v>
      </c>
      <c r="F24" s="14" t="s">
        <v>44</v>
      </c>
      <c r="G24" s="1" t="s">
        <v>40</v>
      </c>
      <c r="H24" s="1" t="s">
        <v>57</v>
      </c>
      <c r="I24" s="1" t="s">
        <v>58</v>
      </c>
    </row>
    <row r="25" spans="1:9" x14ac:dyDescent="0.25">
      <c r="A25" s="1"/>
      <c r="B25" s="7" t="s">
        <v>88</v>
      </c>
      <c r="C25" s="7" t="s">
        <v>91</v>
      </c>
      <c r="D25" s="12">
        <v>9.9</v>
      </c>
      <c r="E25" s="12" t="s">
        <v>43</v>
      </c>
      <c r="F25" s="13">
        <v>44126</v>
      </c>
      <c r="G25" s="1" t="s">
        <v>40</v>
      </c>
      <c r="H25" s="1" t="s">
        <v>89</v>
      </c>
      <c r="I25" s="1" t="s">
        <v>90</v>
      </c>
    </row>
    <row r="26" spans="1:9" x14ac:dyDescent="0.25">
      <c r="A26" s="1"/>
      <c r="B26" s="7" t="s">
        <v>88</v>
      </c>
      <c r="C26" s="7" t="s">
        <v>92</v>
      </c>
      <c r="D26" s="12">
        <v>7.29</v>
      </c>
      <c r="E26" s="12">
        <v>1.82</v>
      </c>
      <c r="F26" s="13">
        <v>44127</v>
      </c>
      <c r="G26" s="1" t="s">
        <v>40</v>
      </c>
      <c r="H26" s="1" t="s">
        <v>93</v>
      </c>
      <c r="I26" s="1"/>
    </row>
    <row r="27" spans="1:9" x14ac:dyDescent="0.25">
      <c r="A27" s="1"/>
      <c r="B27" s="7"/>
      <c r="C27" s="7"/>
      <c r="D27" s="35">
        <f>D21+D22+D23+D24+D25+D26</f>
        <v>23.82</v>
      </c>
      <c r="E27" s="12"/>
      <c r="F27" s="14"/>
      <c r="G27" s="1"/>
      <c r="H27" s="1"/>
      <c r="I27" s="1"/>
    </row>
    <row r="28" spans="1:9" x14ac:dyDescent="0.25">
      <c r="A28" s="2" t="s">
        <v>17</v>
      </c>
      <c r="B28" s="7" t="s">
        <v>19</v>
      </c>
      <c r="C28" s="7"/>
      <c r="D28" s="12"/>
      <c r="E28" s="1"/>
      <c r="F28" s="14"/>
      <c r="G28" s="1"/>
      <c r="H28" s="1"/>
      <c r="I28" s="1"/>
    </row>
    <row r="29" spans="1:9" x14ac:dyDescent="0.25">
      <c r="A29" s="1"/>
      <c r="B29" s="8" t="s">
        <v>20</v>
      </c>
      <c r="C29" s="8" t="s">
        <v>59</v>
      </c>
      <c r="D29" s="18">
        <v>2600</v>
      </c>
      <c r="E29" s="1" t="s">
        <v>26</v>
      </c>
      <c r="F29" s="14" t="s">
        <v>12</v>
      </c>
      <c r="G29" s="1" t="s">
        <v>64</v>
      </c>
      <c r="H29" s="1" t="s">
        <v>61</v>
      </c>
      <c r="I29" s="1" t="s">
        <v>62</v>
      </c>
    </row>
    <row r="30" spans="1:9" x14ac:dyDescent="0.25">
      <c r="A30" s="1"/>
      <c r="B30" s="7"/>
      <c r="C30" s="7" t="s">
        <v>60</v>
      </c>
      <c r="D30" s="11">
        <v>2500</v>
      </c>
      <c r="E30" s="1" t="s">
        <v>48</v>
      </c>
      <c r="F30" s="14" t="s">
        <v>48</v>
      </c>
      <c r="G30" s="1" t="s">
        <v>67</v>
      </c>
      <c r="H30" s="1" t="s">
        <v>66</v>
      </c>
      <c r="I30" s="1" t="s">
        <v>63</v>
      </c>
    </row>
    <row r="31" spans="1:9" x14ac:dyDescent="0.25">
      <c r="A31" s="1"/>
      <c r="B31" s="7"/>
      <c r="C31" s="7"/>
      <c r="D31" s="11">
        <v>2020</v>
      </c>
      <c r="E31" s="1" t="s">
        <v>48</v>
      </c>
      <c r="F31" s="14" t="s">
        <v>48</v>
      </c>
      <c r="G31" s="1" t="s">
        <v>68</v>
      </c>
      <c r="H31" s="1" t="s">
        <v>65</v>
      </c>
      <c r="I31" s="1" t="s">
        <v>63</v>
      </c>
    </row>
    <row r="32" spans="1:9" x14ac:dyDescent="0.25">
      <c r="A32" s="1"/>
      <c r="B32" s="7"/>
      <c r="C32" s="7"/>
      <c r="D32" s="12"/>
      <c r="E32" s="1"/>
      <c r="F32" s="14"/>
      <c r="G32" s="1"/>
      <c r="H32" s="1"/>
      <c r="I32" s="1"/>
    </row>
    <row r="33" spans="1:9" x14ac:dyDescent="0.25">
      <c r="A33" s="2" t="s">
        <v>94</v>
      </c>
      <c r="B33" s="7" t="s">
        <v>98</v>
      </c>
      <c r="C33" s="21">
        <v>931</v>
      </c>
      <c r="D33" s="12">
        <v>1.21</v>
      </c>
      <c r="E33" s="24">
        <v>2.71</v>
      </c>
      <c r="F33" s="27">
        <v>44128</v>
      </c>
      <c r="G33" s="21" t="s">
        <v>40</v>
      </c>
      <c r="H33" s="28" t="s">
        <v>108</v>
      </c>
      <c r="I33" s="1"/>
    </row>
    <row r="34" spans="1:9" x14ac:dyDescent="0.25">
      <c r="A34" s="1"/>
      <c r="B34" s="7" t="s">
        <v>99</v>
      </c>
      <c r="C34" s="22"/>
      <c r="D34" s="12">
        <v>1.26</v>
      </c>
      <c r="E34" s="25"/>
      <c r="F34" s="22"/>
      <c r="G34" s="22"/>
      <c r="H34" s="29"/>
      <c r="I34" s="1"/>
    </row>
    <row r="35" spans="1:9" x14ac:dyDescent="0.25">
      <c r="A35" s="1"/>
      <c r="B35" s="7" t="s">
        <v>100</v>
      </c>
      <c r="C35" s="22"/>
      <c r="D35" s="12">
        <v>0.79</v>
      </c>
      <c r="E35" s="25"/>
      <c r="F35" s="22"/>
      <c r="G35" s="22"/>
      <c r="H35" s="29"/>
      <c r="I35" s="1"/>
    </row>
    <row r="36" spans="1:9" x14ac:dyDescent="0.25">
      <c r="A36" s="1"/>
      <c r="B36" s="7" t="s">
        <v>101</v>
      </c>
      <c r="C36" s="22"/>
      <c r="D36" s="12">
        <v>1.1499999999999999</v>
      </c>
      <c r="E36" s="25"/>
      <c r="F36" s="22"/>
      <c r="G36" s="22"/>
      <c r="H36" s="29"/>
      <c r="I36" s="1"/>
    </row>
    <row r="37" spans="1:9" x14ac:dyDescent="0.25">
      <c r="A37" s="1"/>
      <c r="B37" s="7" t="s">
        <v>102</v>
      </c>
      <c r="C37" s="22"/>
      <c r="D37" s="12">
        <v>1.69</v>
      </c>
      <c r="E37" s="25"/>
      <c r="F37" s="22"/>
      <c r="G37" s="22"/>
      <c r="H37" s="29"/>
      <c r="I37" s="1"/>
    </row>
    <row r="38" spans="1:9" x14ac:dyDescent="0.25">
      <c r="A38" s="1"/>
      <c r="B38" s="7" t="s">
        <v>103</v>
      </c>
      <c r="C38" s="22"/>
      <c r="D38" s="12">
        <v>2.59</v>
      </c>
      <c r="E38" s="25"/>
      <c r="F38" s="22"/>
      <c r="G38" s="22"/>
      <c r="H38" s="29"/>
      <c r="I38" s="1"/>
    </row>
    <row r="39" spans="1:9" x14ac:dyDescent="0.25">
      <c r="A39" s="1"/>
      <c r="B39" s="7" t="s">
        <v>104</v>
      </c>
      <c r="C39" s="22"/>
      <c r="D39" s="12">
        <v>2.86</v>
      </c>
      <c r="E39" s="25"/>
      <c r="F39" s="22"/>
      <c r="G39" s="22"/>
      <c r="H39" s="29"/>
      <c r="I39" s="1"/>
    </row>
    <row r="40" spans="1:9" x14ac:dyDescent="0.25">
      <c r="A40" s="1"/>
      <c r="B40" s="7" t="s">
        <v>105</v>
      </c>
      <c r="C40" s="22"/>
      <c r="D40" s="12">
        <v>2.12</v>
      </c>
      <c r="E40" s="25"/>
      <c r="F40" s="22"/>
      <c r="G40" s="22"/>
      <c r="H40" s="29"/>
      <c r="I40" s="1"/>
    </row>
    <row r="41" spans="1:9" x14ac:dyDescent="0.25">
      <c r="A41" s="1"/>
      <c r="B41" s="7" t="s">
        <v>106</v>
      </c>
      <c r="C41" s="22"/>
      <c r="D41" s="12">
        <v>2.69</v>
      </c>
      <c r="E41" s="25"/>
      <c r="F41" s="22"/>
      <c r="G41" s="22"/>
      <c r="H41" s="29"/>
      <c r="I41" s="1"/>
    </row>
    <row r="42" spans="1:9" x14ac:dyDescent="0.25">
      <c r="A42" s="1"/>
      <c r="B42" s="7" t="s">
        <v>107</v>
      </c>
      <c r="C42" s="23"/>
      <c r="D42" s="12">
        <v>3.67</v>
      </c>
      <c r="E42" s="26"/>
      <c r="F42" s="23"/>
      <c r="G42" s="23"/>
      <c r="H42" s="30"/>
      <c r="I42" s="1"/>
    </row>
    <row r="43" spans="1:9" x14ac:dyDescent="0.25">
      <c r="A43" s="1"/>
      <c r="B43" s="7" t="s">
        <v>95</v>
      </c>
      <c r="C43" s="21">
        <v>934</v>
      </c>
      <c r="D43" s="12">
        <v>1.4</v>
      </c>
      <c r="E43" s="32"/>
      <c r="F43" s="31"/>
      <c r="G43" s="31"/>
      <c r="H43" s="34" t="s">
        <v>111</v>
      </c>
      <c r="I43" s="1"/>
    </row>
    <row r="44" spans="1:9" x14ac:dyDescent="0.25">
      <c r="A44" s="1"/>
      <c r="B44" s="7" t="s">
        <v>96</v>
      </c>
      <c r="C44" s="22"/>
      <c r="D44" s="12">
        <v>1.35</v>
      </c>
      <c r="E44" s="1"/>
      <c r="F44" s="14"/>
      <c r="G44" s="1"/>
      <c r="H44" s="33" t="s">
        <v>110</v>
      </c>
      <c r="I44" s="1"/>
    </row>
    <row r="45" spans="1:9" x14ac:dyDescent="0.25">
      <c r="A45" s="1"/>
      <c r="B45" s="7" t="s">
        <v>97</v>
      </c>
      <c r="C45" s="22"/>
      <c r="D45" s="12">
        <v>0.79</v>
      </c>
      <c r="E45" s="1"/>
      <c r="F45" s="14"/>
      <c r="G45" s="1"/>
      <c r="H45" s="33" t="s">
        <v>112</v>
      </c>
      <c r="I45" s="1"/>
    </row>
    <row r="46" spans="1:9" x14ac:dyDescent="0.25">
      <c r="A46" s="1"/>
      <c r="B46" s="7" t="s">
        <v>109</v>
      </c>
      <c r="C46" s="23"/>
      <c r="D46" s="12">
        <v>1.79</v>
      </c>
      <c r="E46" s="1"/>
      <c r="F46" s="14"/>
      <c r="G46" s="1"/>
      <c r="H46" s="33"/>
      <c r="I46" s="1"/>
    </row>
    <row r="47" spans="1:9" x14ac:dyDescent="0.25">
      <c r="A47" s="1"/>
      <c r="B47" s="7"/>
      <c r="C47" s="7"/>
      <c r="D47" s="36">
        <f>SUM(D33:D46)</f>
        <v>25.36</v>
      </c>
      <c r="E47" s="1"/>
      <c r="F47" s="14"/>
      <c r="G47" s="1"/>
      <c r="H47" s="1"/>
      <c r="I47" s="1"/>
    </row>
    <row r="48" spans="1:9" x14ac:dyDescent="0.25">
      <c r="A48" s="2" t="s">
        <v>18</v>
      </c>
      <c r="B48" s="7" t="s">
        <v>32</v>
      </c>
      <c r="C48" s="7" t="s">
        <v>33</v>
      </c>
      <c r="D48" s="1">
        <v>2000</v>
      </c>
      <c r="E48" s="1" t="s">
        <v>26</v>
      </c>
      <c r="F48" s="14" t="s">
        <v>12</v>
      </c>
      <c r="G48" s="1" t="s">
        <v>27</v>
      </c>
      <c r="H48" s="1"/>
      <c r="I48" s="1"/>
    </row>
    <row r="49" spans="1:9" x14ac:dyDescent="0.25">
      <c r="A49" s="1"/>
      <c r="B49" s="7"/>
      <c r="C49" s="7" t="s">
        <v>34</v>
      </c>
      <c r="D49" s="1"/>
      <c r="E49" s="1"/>
      <c r="F49" s="14"/>
      <c r="G49" s="1"/>
      <c r="H49" s="1"/>
      <c r="I49" s="1"/>
    </row>
    <row r="50" spans="1:9" x14ac:dyDescent="0.25">
      <c r="A50" s="1"/>
      <c r="B50" s="7" t="s">
        <v>28</v>
      </c>
      <c r="C50" s="7" t="s">
        <v>29</v>
      </c>
      <c r="D50" s="1"/>
      <c r="E50" s="1"/>
      <c r="F50" s="14"/>
      <c r="G50" s="1"/>
      <c r="H50" s="1"/>
      <c r="I50" s="1"/>
    </row>
    <row r="51" spans="1:9" x14ac:dyDescent="0.25">
      <c r="A51" s="1"/>
      <c r="B51" s="1"/>
      <c r="C51" s="1" t="s">
        <v>30</v>
      </c>
      <c r="D51" s="1"/>
      <c r="E51" s="1"/>
      <c r="F51" s="14"/>
      <c r="G51" s="1"/>
      <c r="H51" s="1"/>
      <c r="I51" s="1"/>
    </row>
    <row r="53" spans="1:9" x14ac:dyDescent="0.25">
      <c r="B53" s="1"/>
      <c r="C53" s="1" t="s">
        <v>113</v>
      </c>
      <c r="D53" s="1" t="s">
        <v>114</v>
      </c>
    </row>
    <row r="54" spans="1:9" x14ac:dyDescent="0.25">
      <c r="B54" s="1"/>
      <c r="C54" s="1">
        <v>427.96</v>
      </c>
      <c r="D54" s="1">
        <v>5.69</v>
      </c>
    </row>
    <row r="55" spans="1:9" x14ac:dyDescent="0.25">
      <c r="B55" s="1" t="s">
        <v>115</v>
      </c>
      <c r="C55" s="37">
        <f>D3+D29+D48+(D12+D15+E15+D19+E19+D27+E23+E24+E26+D47)*C54</f>
        <v>141798.28320000001</v>
      </c>
      <c r="D55" s="1"/>
    </row>
  </sheetData>
  <mergeCells count="6">
    <mergeCell ref="C43:C46"/>
    <mergeCell ref="E33:E42"/>
    <mergeCell ref="F33:F42"/>
    <mergeCell ref="G33:G42"/>
    <mergeCell ref="H33:H42"/>
    <mergeCell ref="C33:C42"/>
  </mergeCells>
  <hyperlinks>
    <hyperlink ref="H19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2020-09-17T07:04:46Z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9193e939-2796-455d-b742-ed1d3654bdcf</vt:lpwstr>
  </property>
</Properties>
</file>